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"/>
    </mc:Choice>
  </mc:AlternateContent>
  <xr:revisionPtr revIDLastSave="0" documentId="8_{E376A638-0FB7-43EF-8076-BF3D433CFD54}" xr6:coauthVersionLast="47" xr6:coauthVersionMax="47" xr10:uidLastSave="{00000000-0000-0000-0000-000000000000}"/>
  <bookViews>
    <workbookView xWindow="-96" yWindow="-96" windowWidth="23232" windowHeight="12552"/>
  </bookViews>
  <sheets>
    <sheet name="Min_Max_and_Quartiles" sheetId="1" r:id="rId1"/>
  </sheets>
  <calcPr calcId="0"/>
</workbook>
</file>

<file path=xl/calcChain.xml><?xml version="1.0" encoding="utf-8"?>
<calcChain xmlns="http://schemas.openxmlformats.org/spreadsheetml/2006/main">
  <c r="D19" i="1" l="1"/>
  <c r="D17" i="1"/>
  <c r="D15" i="1"/>
  <c r="D5" i="1"/>
  <c r="D3" i="1"/>
</calcChain>
</file>

<file path=xl/sharedStrings.xml><?xml version="1.0" encoding="utf-8"?>
<sst xmlns="http://schemas.openxmlformats.org/spreadsheetml/2006/main" count="6" uniqueCount="6">
  <si>
    <t xml:space="preserve">Data </t>
  </si>
  <si>
    <t xml:space="preserve">Minimum </t>
  </si>
  <si>
    <t>Maximum</t>
  </si>
  <si>
    <t>First Quartile (25% Percentile)</t>
  </si>
  <si>
    <t>Median Quartile (50% Percentile)</t>
  </si>
  <si>
    <t>Third Quartile (75% Percentile)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</si>
</sst>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0"/>
  <sheetViews>
    <sheetView tabSelected="1" topLeftCell="A3" workbookViewId="0">
      <selection activeCell="D19" sqref="D19"/>
    </sheetView>
  </sheetViews>
  <sheetFormatPr defaultRowHeight="14.4" x14ac:dyDescent="0.55000000000000004"/>
  <cols>
    <col min="1" max="1" width="9.20703125" bestFit="1" customWidth="1"/>
    <col min="3" max="3" width="26.89453125" bestFit="1" customWidth="1"/>
    <col min="4" max="4" width="9.20703125" bestFit="1" customWidth="1"/>
  </cols>
  <sheetData>
    <row r="1" spans="1:4" x14ac:dyDescent="0.55000000000000004">
      <c r="A1" t="s">
        <v>0</v>
      </c>
    </row>
    <row r="2" spans="1:4" x14ac:dyDescent="0.55000000000000004">
      <c r="A2" s="1">
        <v>1684</v>
      </c>
    </row>
    <row r="3" spans="1:4" x14ac:dyDescent="0.55000000000000004">
      <c r="A3" s="1">
        <v>1738</v>
      </c>
      <c r="C3" t="s">
        <v>1</v>
      </c>
      <c r="D3" s="1">
        <f>MIN(A2:A40)</f>
        <v>1684</v>
      </c>
    </row>
    <row r="4" spans="1:4" x14ac:dyDescent="0.55000000000000004">
      <c r="A4" s="1">
        <v>1861</v>
      </c>
    </row>
    <row r="5" spans="1:4" x14ac:dyDescent="0.55000000000000004">
      <c r="A5" s="1">
        <v>2392</v>
      </c>
      <c r="C5" t="s">
        <v>2</v>
      </c>
      <c r="D5" s="1">
        <f>MAX(A2:A40)</f>
        <v>9932</v>
      </c>
    </row>
    <row r="6" spans="1:4" x14ac:dyDescent="0.55000000000000004">
      <c r="A6" s="1">
        <v>2511</v>
      </c>
    </row>
    <row r="7" spans="1:4" x14ac:dyDescent="0.55000000000000004">
      <c r="A7" s="1">
        <v>2780</v>
      </c>
    </row>
    <row r="8" spans="1:4" x14ac:dyDescent="0.55000000000000004">
      <c r="A8" s="1">
        <v>3547</v>
      </c>
    </row>
    <row r="9" spans="1:4" x14ac:dyDescent="0.55000000000000004">
      <c r="A9" s="1">
        <v>3741</v>
      </c>
    </row>
    <row r="10" spans="1:4" x14ac:dyDescent="0.55000000000000004">
      <c r="A10" s="1">
        <v>4109</v>
      </c>
    </row>
    <row r="11" spans="1:4" x14ac:dyDescent="0.55000000000000004">
      <c r="A11" s="1">
        <v>4293</v>
      </c>
    </row>
    <row r="12" spans="1:4" x14ac:dyDescent="0.55000000000000004">
      <c r="A12" s="1">
        <v>4316</v>
      </c>
    </row>
    <row r="13" spans="1:4" x14ac:dyDescent="0.55000000000000004">
      <c r="A13" s="1">
        <v>4364</v>
      </c>
    </row>
    <row r="14" spans="1:4" x14ac:dyDescent="0.55000000000000004">
      <c r="A14" s="1">
        <v>4465</v>
      </c>
    </row>
    <row r="15" spans="1:4" x14ac:dyDescent="0.55000000000000004">
      <c r="A15" s="1">
        <v>4479</v>
      </c>
      <c r="C15" t="s">
        <v>3</v>
      </c>
      <c r="D15" s="1">
        <f>_xlfn.QUARTILE.EXC($A$2:$A$40,1)</f>
        <v>4293</v>
      </c>
    </row>
    <row r="16" spans="1:4" x14ac:dyDescent="0.55000000000000004">
      <c r="A16" s="1">
        <v>4521</v>
      </c>
      <c r="D16" s="1"/>
    </row>
    <row r="17" spans="1:4" x14ac:dyDescent="0.55000000000000004">
      <c r="A17" s="1">
        <v>4754</v>
      </c>
      <c r="C17" t="s">
        <v>4</v>
      </c>
      <c r="D17" s="1">
        <f>_xlfn.QUARTILE.EXC($A$2:$A$40,2)</f>
        <v>6062</v>
      </c>
    </row>
    <row r="18" spans="1:4" x14ac:dyDescent="0.55000000000000004">
      <c r="A18" s="1">
        <v>5099</v>
      </c>
      <c r="D18" s="1"/>
    </row>
    <row r="19" spans="1:4" x14ac:dyDescent="0.55000000000000004">
      <c r="A19" s="1">
        <v>5629</v>
      </c>
      <c r="C19" t="s">
        <v>5</v>
      </c>
      <c r="D19" s="1">
        <f>_xlfn.QUARTILE.EXC($A$2:$A$40,3)</f>
        <v>7491</v>
      </c>
    </row>
    <row r="20" spans="1:4" x14ac:dyDescent="0.55000000000000004">
      <c r="A20" s="1">
        <v>5786</v>
      </c>
    </row>
    <row r="21" spans="1:4" x14ac:dyDescent="0.55000000000000004">
      <c r="A21" s="1">
        <v>6062</v>
      </c>
    </row>
    <row r="22" spans="1:4" x14ac:dyDescent="0.55000000000000004">
      <c r="A22" s="1">
        <v>6221</v>
      </c>
    </row>
    <row r="23" spans="1:4" x14ac:dyDescent="0.55000000000000004">
      <c r="A23" s="1">
        <v>6231</v>
      </c>
    </row>
    <row r="24" spans="1:4" x14ac:dyDescent="0.55000000000000004">
      <c r="A24" s="1">
        <v>6286</v>
      </c>
    </row>
    <row r="25" spans="1:4" x14ac:dyDescent="0.55000000000000004">
      <c r="A25" s="1">
        <v>6424</v>
      </c>
    </row>
    <row r="26" spans="1:4" x14ac:dyDescent="0.55000000000000004">
      <c r="A26" s="1">
        <v>6885</v>
      </c>
    </row>
    <row r="27" spans="1:4" x14ac:dyDescent="0.55000000000000004">
      <c r="A27" s="1">
        <v>6898</v>
      </c>
    </row>
    <row r="28" spans="1:4" x14ac:dyDescent="0.55000000000000004">
      <c r="A28" s="1">
        <v>6955</v>
      </c>
    </row>
    <row r="29" spans="1:4" x14ac:dyDescent="0.55000000000000004">
      <c r="A29" s="1">
        <v>7265</v>
      </c>
    </row>
    <row r="30" spans="1:4" x14ac:dyDescent="0.55000000000000004">
      <c r="A30" s="1">
        <v>7330</v>
      </c>
    </row>
    <row r="31" spans="1:4" x14ac:dyDescent="0.55000000000000004">
      <c r="A31" s="1">
        <v>7491</v>
      </c>
    </row>
    <row r="32" spans="1:4" x14ac:dyDescent="0.55000000000000004">
      <c r="A32" s="1">
        <v>7641</v>
      </c>
    </row>
    <row r="33" spans="1:1" x14ac:dyDescent="0.55000000000000004">
      <c r="A33" s="1">
        <v>7666</v>
      </c>
    </row>
    <row r="34" spans="1:1" x14ac:dyDescent="0.55000000000000004">
      <c r="A34" s="1">
        <v>7751</v>
      </c>
    </row>
    <row r="35" spans="1:1" x14ac:dyDescent="0.55000000000000004">
      <c r="A35" s="1">
        <v>8060</v>
      </c>
    </row>
    <row r="36" spans="1:1" x14ac:dyDescent="0.55000000000000004">
      <c r="A36" s="1">
        <v>8219</v>
      </c>
    </row>
    <row r="37" spans="1:1" x14ac:dyDescent="0.55000000000000004">
      <c r="A37" s="1">
        <v>8283</v>
      </c>
    </row>
    <row r="38" spans="1:1" x14ac:dyDescent="0.55000000000000004">
      <c r="A38" s="1">
        <v>8852</v>
      </c>
    </row>
    <row r="39" spans="1:1" x14ac:dyDescent="0.55000000000000004">
      <c r="A39" s="1">
        <v>9637</v>
      </c>
    </row>
    <row r="40" spans="1:1" x14ac:dyDescent="0.55000000000000004">
      <c r="A40" s="1">
        <v>9932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Min_Max_and_Quartiles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Hennessey</dc:creator>
  <cp:lastModifiedBy>Patrick Hennessey</cp:lastModifiedBy>
  <dcterms:created xsi:type="dcterms:W3CDTF">2023-04-12T20:33:42Z</dcterms:created>
  <dcterms:modified xsi:type="dcterms:W3CDTF">2023-04-12T20:33:42Z</dcterms:modified>
</cp:coreProperties>
</file>