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ri\DADS\GitHub_Repositories\Excel\Formulas_and_Templates\"/>
    </mc:Choice>
  </mc:AlternateContent>
  <xr:revisionPtr revIDLastSave="0" documentId="8_{A869E337-A3BD-48A1-901D-ACB9B45F7987}" xr6:coauthVersionLast="47" xr6:coauthVersionMax="47" xr10:uidLastSave="{00000000-0000-0000-0000-000000000000}"/>
  <bookViews>
    <workbookView xWindow="-96" yWindow="-96" windowWidth="23232" windowHeight="12552" xr2:uid="{16A967E0-187F-4F32-B4B9-CCE437C8391E}"/>
  </bookViews>
  <sheets>
    <sheet name="Variance and Standard Deviatio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3" i="1" s="1"/>
  <c r="E23" i="1"/>
  <c r="E21" i="1"/>
  <c r="E12" i="1"/>
  <c r="F12" i="1" s="1"/>
  <c r="E10" i="1"/>
  <c r="F10" i="1" s="1"/>
  <c r="E8" i="1"/>
  <c r="F8" i="1" s="1"/>
  <c r="E6" i="1"/>
  <c r="F6" i="1" s="1"/>
  <c r="E4" i="1"/>
  <c r="F4" i="1" s="1"/>
  <c r="A4" i="1"/>
  <c r="E11" i="1" s="1"/>
  <c r="F11" i="1" s="1"/>
  <c r="E5" i="1" l="1"/>
  <c r="F5" i="1" s="1"/>
  <c r="F15" i="1" s="1"/>
  <c r="E9" i="1"/>
  <c r="F9" i="1" s="1"/>
  <c r="E13" i="1"/>
  <c r="F13" i="1" s="1"/>
  <c r="E7" i="1"/>
  <c r="F7" i="1" s="1"/>
  <c r="E15" i="1" l="1"/>
</calcChain>
</file>

<file path=xl/sharedStrings.xml><?xml version="1.0" encoding="utf-8"?>
<sst xmlns="http://schemas.openxmlformats.org/spreadsheetml/2006/main" count="14" uniqueCount="14">
  <si>
    <t>STDEV.S</t>
  </si>
  <si>
    <t>Standard Deviation (long way)</t>
  </si>
  <si>
    <t>VAR.S</t>
  </si>
  <si>
    <t>Variance (long way)</t>
  </si>
  <si>
    <t>Squared Error</t>
  </si>
  <si>
    <t>Error</t>
  </si>
  <si>
    <t>Mean Order Values</t>
  </si>
  <si>
    <t>Actual Order Values</t>
  </si>
  <si>
    <t>Average of C Column Values</t>
  </si>
  <si>
    <t>Retrieved from Data</t>
  </si>
  <si>
    <t>Mean - Actual Order Value</t>
  </si>
  <si>
    <t xml:space="preserve">Column E error value ^2 </t>
  </si>
  <si>
    <t>Note: Below are used for small samples of data sets</t>
  </si>
  <si>
    <t>Note: Below are used for complete data 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</si>
</sst>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1" applyNumberFormat="1" applyFont="1"/>
    <xf numFmtId="37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43" fontId="0" fillId="0" borderId="0" xfId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9B9C2-DA3B-4C76-81CB-D2CBA83FF337}">
  <dimension ref="A2:G23"/>
  <sheetViews>
    <sheetView tabSelected="1" workbookViewId="0">
      <selection activeCell="E23" sqref="E23"/>
    </sheetView>
  </sheetViews>
  <sheetFormatPr defaultRowHeight="14.4" x14ac:dyDescent="0.55000000000000004"/>
  <cols>
    <col min="1" max="1" width="22.89453125" bestFit="1" customWidth="1"/>
    <col min="2" max="2" width="35.7890625" bestFit="1" customWidth="1"/>
    <col min="3" max="3" width="16.89453125" style="1" bestFit="1" customWidth="1"/>
    <col min="4" max="4" width="41.41796875" style="1" bestFit="1" customWidth="1"/>
    <col min="5" max="5" width="21.68359375" style="1" bestFit="1" customWidth="1"/>
    <col min="6" max="6" width="25.47265625" style="1" customWidth="1"/>
    <col min="7" max="7" width="11.62890625" style="1" bestFit="1" customWidth="1"/>
  </cols>
  <sheetData>
    <row r="2" spans="1:6" x14ac:dyDescent="0.55000000000000004">
      <c r="A2" t="s">
        <v>8</v>
      </c>
      <c r="C2" s="1" t="s">
        <v>9</v>
      </c>
      <c r="E2" s="1" t="s">
        <v>10</v>
      </c>
      <c r="F2" s="1" t="s">
        <v>11</v>
      </c>
    </row>
    <row r="3" spans="1:6" x14ac:dyDescent="0.55000000000000004">
      <c r="A3" s="2" t="s">
        <v>6</v>
      </c>
      <c r="B3" s="2"/>
      <c r="C3" s="2" t="s">
        <v>7</v>
      </c>
      <c r="D3" s="2"/>
      <c r="E3" s="2" t="s">
        <v>5</v>
      </c>
      <c r="F3" s="2" t="s">
        <v>4</v>
      </c>
    </row>
    <row r="4" spans="1:6" x14ac:dyDescent="0.55000000000000004">
      <c r="A4" s="3">
        <f>AVERAGE(C4:C13)</f>
        <v>5482.6</v>
      </c>
      <c r="B4" s="3"/>
      <c r="C4" s="4">
        <v>2393</v>
      </c>
      <c r="D4" s="4"/>
      <c r="E4" s="5">
        <f>C4-$A$4</f>
        <v>-3089.6000000000004</v>
      </c>
      <c r="F4" s="5">
        <f>(E4)^2</f>
        <v>9545628.160000002</v>
      </c>
    </row>
    <row r="5" spans="1:6" x14ac:dyDescent="0.55000000000000004">
      <c r="C5" s="4">
        <v>5403</v>
      </c>
      <c r="D5" s="4"/>
      <c r="E5" s="5">
        <f t="shared" ref="E5:E13" si="0">C5-$A$4</f>
        <v>-79.600000000000364</v>
      </c>
      <c r="F5" s="5">
        <f t="shared" ref="F5:F13" si="1">(E5)^2</f>
        <v>6336.1600000000581</v>
      </c>
    </row>
    <row r="6" spans="1:6" x14ac:dyDescent="0.55000000000000004">
      <c r="C6" s="4">
        <v>2140</v>
      </c>
      <c r="D6" s="4"/>
      <c r="E6" s="5">
        <f t="shared" si="0"/>
        <v>-3342.6000000000004</v>
      </c>
      <c r="F6" s="5">
        <f t="shared" si="1"/>
        <v>11172974.760000002</v>
      </c>
    </row>
    <row r="7" spans="1:6" x14ac:dyDescent="0.55000000000000004">
      <c r="C7" s="4">
        <v>9195</v>
      </c>
      <c r="D7" s="4"/>
      <c r="E7" s="5">
        <f t="shared" si="0"/>
        <v>3712.3999999999996</v>
      </c>
      <c r="F7" s="5">
        <f t="shared" si="1"/>
        <v>13781913.759999998</v>
      </c>
    </row>
    <row r="8" spans="1:6" x14ac:dyDescent="0.55000000000000004">
      <c r="C8" s="4">
        <v>4132</v>
      </c>
      <c r="D8" s="4"/>
      <c r="E8" s="5">
        <f t="shared" si="0"/>
        <v>-1350.6000000000004</v>
      </c>
      <c r="F8" s="5">
        <f t="shared" si="1"/>
        <v>1824120.360000001</v>
      </c>
    </row>
    <row r="9" spans="1:6" x14ac:dyDescent="0.55000000000000004">
      <c r="C9" s="4">
        <v>9429</v>
      </c>
      <c r="D9" s="4"/>
      <c r="E9" s="5">
        <f t="shared" si="0"/>
        <v>3946.3999999999996</v>
      </c>
      <c r="F9" s="5">
        <f t="shared" si="1"/>
        <v>15574072.959999997</v>
      </c>
    </row>
    <row r="10" spans="1:6" x14ac:dyDescent="0.55000000000000004">
      <c r="C10" s="4">
        <v>8054</v>
      </c>
      <c r="D10" s="4"/>
      <c r="E10" s="5">
        <f t="shared" si="0"/>
        <v>2571.3999999999996</v>
      </c>
      <c r="F10" s="5">
        <f t="shared" si="1"/>
        <v>6612097.9599999981</v>
      </c>
    </row>
    <row r="11" spans="1:6" x14ac:dyDescent="0.55000000000000004">
      <c r="C11" s="4">
        <v>3150</v>
      </c>
      <c r="D11" s="4"/>
      <c r="E11" s="5">
        <f t="shared" si="0"/>
        <v>-2332.6000000000004</v>
      </c>
      <c r="F11" s="5">
        <f t="shared" si="1"/>
        <v>5441022.7600000016</v>
      </c>
    </row>
    <row r="12" spans="1:6" x14ac:dyDescent="0.55000000000000004">
      <c r="C12" s="4">
        <v>5447</v>
      </c>
      <c r="D12" s="4"/>
      <c r="E12" s="5">
        <f t="shared" si="0"/>
        <v>-35.600000000000364</v>
      </c>
      <c r="F12" s="5">
        <f t="shared" si="1"/>
        <v>1267.3600000000258</v>
      </c>
    </row>
    <row r="13" spans="1:6" x14ac:dyDescent="0.55000000000000004">
      <c r="C13" s="4">
        <v>5483</v>
      </c>
      <c r="D13" s="4"/>
      <c r="E13" s="5">
        <f t="shared" si="0"/>
        <v>0.3999999999996362</v>
      </c>
      <c r="F13" s="5">
        <f t="shared" si="1"/>
        <v>0.15999999999970896</v>
      </c>
    </row>
    <row r="15" spans="1:6" x14ac:dyDescent="0.55000000000000004">
      <c r="C15" s="6"/>
      <c r="E15" s="5">
        <f>SUM(E4:E14)</f>
        <v>-3.637978807091713E-12</v>
      </c>
      <c r="F15" s="5">
        <f>SUM(F4:F14)</f>
        <v>63959434.399999991</v>
      </c>
    </row>
    <row r="19" spans="1:5" x14ac:dyDescent="0.55000000000000004">
      <c r="A19" s="1"/>
      <c r="B19" s="1" t="s">
        <v>13</v>
      </c>
      <c r="D19" s="1" t="s">
        <v>12</v>
      </c>
    </row>
    <row r="21" spans="1:5" x14ac:dyDescent="0.55000000000000004">
      <c r="B21" s="2" t="s">
        <v>3</v>
      </c>
      <c r="C21" s="7">
        <f>F15/(COUNT(F4:F13)-1)</f>
        <v>7106603.8222222216</v>
      </c>
      <c r="D21" s="2" t="s">
        <v>2</v>
      </c>
      <c r="E21" s="7">
        <f>_xlfn.VAR.S(C4:C13)</f>
        <v>7106603.8222222198</v>
      </c>
    </row>
    <row r="22" spans="1:5" x14ac:dyDescent="0.55000000000000004">
      <c r="B22" s="1"/>
      <c r="E22" s="8"/>
    </row>
    <row r="23" spans="1:5" x14ac:dyDescent="0.55000000000000004">
      <c r="B23" s="2" t="s">
        <v>1</v>
      </c>
      <c r="C23" s="7">
        <f>SQRT(C21)</f>
        <v>2665.8214160408834</v>
      </c>
      <c r="D23" s="2" t="s">
        <v>0</v>
      </c>
      <c r="E23" s="7">
        <f>_xlfn.STDEV.S(C4:C13)</f>
        <v>2665.8214160408834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Variance and Standard Deviation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Hennessey</dc:creator>
  <cp:lastModifiedBy>Patrick Hennessey</cp:lastModifiedBy>
  <dcterms:created xsi:type="dcterms:W3CDTF">2023-04-12T19:59:14Z</dcterms:created>
  <dcterms:modified xsi:type="dcterms:W3CDTF">2023-04-12T22:04:19Z</dcterms:modified>
</cp:coreProperties>
</file>